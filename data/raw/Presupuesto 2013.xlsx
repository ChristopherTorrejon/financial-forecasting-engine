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zen\Downloads\"/>
    </mc:Choice>
  </mc:AlternateContent>
  <xr:revisionPtr revIDLastSave="0" documentId="13_ncr:1_{900170AC-E286-4FF2-AB4D-9232A94DD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6" i="1" l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35" i="1"/>
  <c r="D34" i="1"/>
  <c r="E34" i="1"/>
  <c r="F34" i="1"/>
  <c r="G34" i="1"/>
  <c r="H34" i="1"/>
  <c r="I34" i="1"/>
  <c r="J34" i="1"/>
  <c r="K34" i="1"/>
  <c r="L34" i="1"/>
  <c r="M34" i="1"/>
  <c r="N34" i="1"/>
  <c r="B34" i="1"/>
  <c r="O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4" i="1"/>
  <c r="C3" i="1"/>
  <c r="D3" i="1"/>
  <c r="E3" i="1"/>
  <c r="F3" i="1"/>
  <c r="G3" i="1"/>
  <c r="H3" i="1"/>
  <c r="I3" i="1"/>
  <c r="J3" i="1"/>
  <c r="K3" i="1"/>
  <c r="L3" i="1"/>
  <c r="M3" i="1"/>
  <c r="N3" i="1"/>
  <c r="B3" i="1"/>
  <c r="O63" i="1"/>
  <c r="O34" i="1" s="1"/>
  <c r="C34" i="1"/>
</calcChain>
</file>

<file path=xl/sharedStrings.xml><?xml version="1.0" encoding="utf-8"?>
<sst xmlns="http://schemas.openxmlformats.org/spreadsheetml/2006/main" count="77" uniqueCount="77">
  <si>
    <t>Presupuesto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</si>
  <si>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</si>
  <si>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</si>
  <si>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</si>
  <si>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</si>
  <si>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</si>
  <si>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</si>
  <si>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</si>
  <si>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</si>
  <si>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</si>
  <si>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</si>
  <si>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</si>
  <si>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</si>
  <si>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Acumulado</t>
  </si>
  <si>
    <t>Detalle</t>
  </si>
  <si>
    <t xml:space="preserve">  001 - Ventas Servicios Industriales</t>
  </si>
  <si>
    <t xml:space="preserve">  002 - Contratos Mantenimiento</t>
  </si>
  <si>
    <t xml:space="preserve">  003 - Proyectos Ingeniería</t>
  </si>
  <si>
    <t xml:space="preserve">  004 - Servicios Logísticos</t>
  </si>
  <si>
    <t xml:space="preserve">  005 - Servicios Portuarios</t>
  </si>
  <si>
    <t xml:space="preserve">  006 - Construcción Infraestructura</t>
  </si>
  <si>
    <t xml:space="preserve">  007 - Ventas Repuestos</t>
  </si>
  <si>
    <t xml:space="preserve">  008 - Contratos Energía</t>
  </si>
  <si>
    <t xml:space="preserve">  009 - Contratos Minería</t>
  </si>
  <si>
    <t xml:space="preserve">  010 - Servicios Técnicos</t>
  </si>
  <si>
    <t xml:space="preserve">  011 - Exportaciones Servicios</t>
  </si>
  <si>
    <t xml:space="preserve">  012 - Contratos Gobierno</t>
  </si>
  <si>
    <t xml:space="preserve">  013 - Servicios Digitales</t>
  </si>
  <si>
    <t xml:space="preserve">  014 - Licencias Tecnológicas</t>
  </si>
  <si>
    <t xml:space="preserve">  015 - Consultoría Industrial</t>
  </si>
  <si>
    <t xml:space="preserve">  016 - Servicios Seguridad</t>
  </si>
  <si>
    <t xml:space="preserve">  017 - Servicios TI</t>
  </si>
  <si>
    <t xml:space="preserve">  018 - Contratos Defensa</t>
  </si>
  <si>
    <t xml:space="preserve">  019 - Servicios Mecánicos</t>
  </si>
  <si>
    <t xml:space="preserve">  020 - Servicios Eléctricos</t>
  </si>
  <si>
    <t xml:space="preserve">  021 - Servicios Instrumentación</t>
  </si>
  <si>
    <t xml:space="preserve">  022 - Transferencias Estado</t>
  </si>
  <si>
    <t xml:space="preserve">  023 - Subsidios Operativos</t>
  </si>
  <si>
    <t xml:space="preserve">  024 - Ingresos Financieros</t>
  </si>
  <si>
    <t xml:space="preserve">  025 - Intereses</t>
  </si>
  <si>
    <t xml:space="preserve">  026 - Recuperaciones</t>
  </si>
  <si>
    <t xml:space="preserve">  027 - Ventas Chatarra</t>
  </si>
  <si>
    <t xml:space="preserve">  028 - Royalties</t>
  </si>
  <si>
    <t xml:space="preserve">  101 - Sueldos Personal</t>
  </si>
  <si>
    <t xml:space="preserve">  102 - Bonos Personal</t>
  </si>
  <si>
    <t xml:space="preserve">  103 - Seguridad Social</t>
  </si>
  <si>
    <t xml:space="preserve">  104 - Energía y Combustibles</t>
  </si>
  <si>
    <t xml:space="preserve">  105 - Materiales Producción</t>
  </si>
  <si>
    <t xml:space="preserve">  106 - Compras Repuestos</t>
  </si>
  <si>
    <t xml:space="preserve">  107 - Servicios Externos</t>
  </si>
  <si>
    <t xml:space="preserve">  108 - Mantenimiento Equipos</t>
  </si>
  <si>
    <t xml:space="preserve">  109 - Arriendos</t>
  </si>
  <si>
    <t xml:space="preserve">  110 - Seguros</t>
  </si>
  <si>
    <t xml:space="preserve">  111 - Impuestos</t>
  </si>
  <si>
    <t xml:space="preserve">  112 - Gastos Financieros</t>
  </si>
  <si>
    <t xml:space="preserve">  113 - Intereses Deuda</t>
  </si>
  <si>
    <t xml:space="preserve">  114 - Depreciación</t>
  </si>
  <si>
    <t xml:space="preserve">  115 - Amortización</t>
  </si>
  <si>
    <t xml:space="preserve">  116 - Gastos Administración</t>
  </si>
  <si>
    <t xml:space="preserve">  117 - Servicios TI</t>
  </si>
  <si>
    <t xml:space="preserve">  118 - Licencias Software</t>
  </si>
  <si>
    <t xml:space="preserve">  119 - Consultorías</t>
  </si>
  <si>
    <t xml:space="preserve">  121 - Logística</t>
  </si>
  <si>
    <t xml:space="preserve">  122 - Transporte</t>
  </si>
  <si>
    <t xml:space="preserve">  123 - Viáticos</t>
  </si>
  <si>
    <t xml:space="preserve">  124 - Capacitación</t>
  </si>
  <si>
    <t xml:space="preserve">  125 - Investigación y Desarrollo</t>
  </si>
  <si>
    <t xml:space="preserve">  126 - Compras Activos</t>
  </si>
  <si>
    <t xml:space="preserve">  127 - Proyectos Capital</t>
  </si>
  <si>
    <t xml:space="preserve">  128 - Provisiones</t>
  </si>
  <si>
    <t xml:space="preserve">  120 - Marketing</t>
  </si>
  <si>
    <t xml:space="preserve"> Ingresos (+)</t>
  </si>
  <si>
    <t xml:space="preserve"> Egresos (-)</t>
  </si>
  <si>
    <t xml:space="preserve">  029 - Ventas de Activos</t>
  </si>
  <si>
    <t xml:space="preserve">  030 - Saldo Inicial de Caja</t>
  </si>
  <si>
    <t xml:space="preserve">  129 - Inversión Financiera</t>
  </si>
  <si>
    <t xml:space="preserve">  130 - Saldo Final de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</si>
</sst>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44" fontId="0" fillId="0" borderId="1" xfId="1" applyFont="1" applyBorder="1"/>
    <xf numFmtId="0" fontId="1" fillId="3" borderId="1" xfId="0" applyFont="1" applyFill="1" applyBorder="1" applyAlignment="1">
      <alignment horizontal="center" vertical="top"/>
    </xf>
    <xf numFmtId="44" fontId="1" fillId="2" borderId="1" xfId="1" applyFont="1" applyFill="1" applyBorder="1"/>
    <xf numFmtId="44" fontId="1" fillId="4" borderId="1" xfId="1" applyFont="1" applyFill="1" applyBorder="1"/>
    <xf numFmtId="44" fontId="1" fillId="5" borderId="1" xfId="1" applyFont="1" applyFill="1" applyBorder="1"/>
    <xf numFmtId="0" fontId="1" fillId="4" borderId="1" xfId="0" applyFont="1" applyFill="1" applyBorder="1"/>
    <xf numFmtId="44" fontId="0" fillId="4" borderId="1" xfId="1" applyFont="1" applyFill="1" applyBorder="1"/>
    <xf numFmtId="0" fontId="1" fillId="5" borderId="1" xfId="0" applyFont="1" applyFill="1" applyBorder="1"/>
    <xf numFmtId="44" fontId="0" fillId="5" borderId="1" xfId="1" applyFont="1" applyFill="1" applyBorder="1"/>
    <xf numFmtId="0" fontId="1" fillId="0" borderId="1" xfId="0" applyFont="1" applyFill="1" applyBorder="1"/>
    <xf numFmtId="44" fontId="1" fillId="0" borderId="1" xfId="1" applyFont="1" applyFill="1" applyBorder="1"/>
    <xf numFmtId="44" fontId="0" fillId="0" borderId="1" xfId="1" applyFont="1" applyFill="1" applyBorder="1"/>
    <xf numFmtId="0" fontId="1" fillId="6" borderId="1" xfId="0" applyFont="1" applyFill="1" applyBorder="1"/>
    <xf numFmtId="44" fontId="1" fillId="6" borderId="1" xfId="1" applyFont="1" applyFill="1" applyBorder="1"/>
    <xf numFmtId="44" fontId="0" fillId="6" borderId="1" xfId="1" applyFont="1" applyFill="1" applyBorder="1"/>
    <xf numFmtId="44" fontId="2" fillId="4" borderId="1" xfId="1" applyFont="1" applyFill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workbookViewId="0">
      <selection activeCell="E64" sqref="E64"/>
    </sheetView>
  </sheetViews>
  <sheetFormatPr baseColWidth="10" defaultColWidth="9.140625" defaultRowHeight="15" x14ac:dyDescent="0.25"/>
  <cols>
    <col min="1" max="1" width="26.7109375" style="3" bestFit="1" customWidth="1"/>
    <col min="2" max="2" width="17.85546875" bestFit="1" customWidth="1"/>
    <col min="3" max="5" width="16.28515625" bestFit="1" customWidth="1"/>
    <col min="6" max="9" width="15.140625" bestFit="1" customWidth="1"/>
    <col min="10" max="14" width="16.28515625" bestFit="1" customWidth="1"/>
    <col min="15" max="15" width="17.85546875" bestFit="1" customWidth="1"/>
    <col min="16" max="16" width="12.5703125" bestFit="1" customWidth="1"/>
  </cols>
  <sheetData>
    <row r="1" spans="1:16" s="3" customFormat="1" x14ac:dyDescent="0.2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</row>
    <row r="2" spans="1:16" x14ac:dyDescent="0.25">
      <c r="A2" s="1" t="s">
        <v>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25">
      <c r="A3" s="2" t="s">
        <v>71</v>
      </c>
      <c r="B3" s="6">
        <f>SUM(B4:B33)</f>
        <v>1909276520.2247813</v>
      </c>
      <c r="C3" s="6">
        <f t="shared" ref="C3:N3" si="0">SUM(C4:C33)</f>
        <v>407948551.98987293</v>
      </c>
      <c r="D3" s="6">
        <f t="shared" si="0"/>
        <v>270891299.77770036</v>
      </c>
      <c r="E3" s="6">
        <f t="shared" si="0"/>
        <v>103812138.02727014</v>
      </c>
      <c r="F3" s="6">
        <f t="shared" si="0"/>
        <v>87071408.273372859</v>
      </c>
      <c r="G3" s="6">
        <f t="shared" si="0"/>
        <v>74444777.538029939</v>
      </c>
      <c r="H3" s="6">
        <f t="shared" si="0"/>
        <v>72462847.859976634</v>
      </c>
      <c r="I3" s="6">
        <f t="shared" si="0"/>
        <v>89826825.358466879</v>
      </c>
      <c r="J3" s="6">
        <f t="shared" si="0"/>
        <v>120208538.28839912</v>
      </c>
      <c r="K3" s="6">
        <f t="shared" si="0"/>
        <v>124353901.72720879</v>
      </c>
      <c r="L3" s="6">
        <f t="shared" si="0"/>
        <v>139751931.88343716</v>
      </c>
      <c r="M3" s="6">
        <f t="shared" si="0"/>
        <v>163494061.67390293</v>
      </c>
      <c r="N3" s="6">
        <f t="shared" si="0"/>
        <v>317406636.83945107</v>
      </c>
      <c r="O3" s="6">
        <f>SUM(O4:O33)</f>
        <v>1887462919.2370884</v>
      </c>
      <c r="P3" s="20"/>
    </row>
    <row r="4" spans="1:16" x14ac:dyDescent="0.25">
      <c r="A4" s="1" t="s">
        <v>15</v>
      </c>
      <c r="B4" s="6">
        <v>26507360.17550981</v>
      </c>
      <c r="C4" s="4">
        <v>5488015.431307028</v>
      </c>
      <c r="D4" s="4">
        <v>4022396.702414176</v>
      </c>
      <c r="E4" s="4">
        <v>1776285.18394346</v>
      </c>
      <c r="F4" s="4">
        <v>1679565.813491758</v>
      </c>
      <c r="G4" s="4">
        <v>1068304.647510116</v>
      </c>
      <c r="H4" s="4">
        <v>1044888.509830608</v>
      </c>
      <c r="I4" s="4">
        <v>970089.3272248687</v>
      </c>
      <c r="J4" s="4">
        <v>1348666.18176369</v>
      </c>
      <c r="K4" s="4">
        <v>1827197.594886655</v>
      </c>
      <c r="L4" s="4">
        <v>2312952.50839803</v>
      </c>
      <c r="M4" s="4">
        <v>2777585.9655336849</v>
      </c>
      <c r="N4" s="4">
        <v>4847973.6362831332</v>
      </c>
      <c r="O4" s="6">
        <f>SUM(C4:N4)</f>
        <v>29163921.50258721</v>
      </c>
    </row>
    <row r="5" spans="1:16" x14ac:dyDescent="0.25">
      <c r="A5" s="1" t="s">
        <v>16</v>
      </c>
      <c r="B5" s="6">
        <v>26503630.414654989</v>
      </c>
      <c r="C5" s="4">
        <v>3971186.5485248892</v>
      </c>
      <c r="D5" s="4">
        <v>5037819.3487913935</v>
      </c>
      <c r="E5" s="4">
        <v>1255704.7501924401</v>
      </c>
      <c r="F5" s="4">
        <v>1227443.5141652629</v>
      </c>
      <c r="G5" s="4">
        <v>1272564.9269777159</v>
      </c>
      <c r="H5" s="4">
        <v>722801.23337585619</v>
      </c>
      <c r="I5" s="4">
        <v>1339986.32602912</v>
      </c>
      <c r="J5" s="4">
        <v>1926065.802734714</v>
      </c>
      <c r="K5" s="4">
        <v>1482947.608811263</v>
      </c>
      <c r="L5" s="4">
        <v>2080820.375507337</v>
      </c>
      <c r="M5" s="4">
        <v>2833138.522168295</v>
      </c>
      <c r="N5" s="4">
        <v>3942388.540187689</v>
      </c>
      <c r="O5" s="6">
        <f t="shared" ref="O5:O32" si="1">SUM(C5:N5)</f>
        <v>27092867.497465976</v>
      </c>
    </row>
    <row r="6" spans="1:16" x14ac:dyDescent="0.25">
      <c r="A6" s="1" t="s">
        <v>17</v>
      </c>
      <c r="B6" s="6">
        <v>70925510.202146053</v>
      </c>
      <c r="C6" s="4">
        <v>12810451.131163031</v>
      </c>
      <c r="D6" s="4">
        <v>10903587.337648701</v>
      </c>
      <c r="E6" s="4">
        <v>3640552.196617804</v>
      </c>
      <c r="F6" s="4">
        <v>2545794.0984686832</v>
      </c>
      <c r="G6" s="4">
        <v>2461208.045263309</v>
      </c>
      <c r="H6" s="4">
        <v>2285417.6276609739</v>
      </c>
      <c r="I6" s="4">
        <v>3051702.567943512</v>
      </c>
      <c r="J6" s="4">
        <v>3413660.8462934829</v>
      </c>
      <c r="K6" s="4">
        <v>5209246.5459701112</v>
      </c>
      <c r="L6" s="4">
        <v>5747697.9037379939</v>
      </c>
      <c r="M6" s="4">
        <v>4947100.3198379437</v>
      </c>
      <c r="N6" s="4">
        <v>12913827.011827789</v>
      </c>
      <c r="O6" s="6">
        <f t="shared" si="1"/>
        <v>69930245.632433325</v>
      </c>
    </row>
    <row r="7" spans="1:16" x14ac:dyDescent="0.25">
      <c r="A7" s="1" t="s">
        <v>18</v>
      </c>
      <c r="B7" s="6">
        <v>46122711.520748779</v>
      </c>
      <c r="C7" s="4">
        <v>7360774.4168218896</v>
      </c>
      <c r="D7" s="4">
        <v>6139452.0822183704</v>
      </c>
      <c r="E7" s="4">
        <v>2763498.9642841332</v>
      </c>
      <c r="F7" s="4">
        <v>1940512.1387357819</v>
      </c>
      <c r="G7" s="4">
        <v>1642040.282561735</v>
      </c>
      <c r="H7" s="4">
        <v>1904877.426828169</v>
      </c>
      <c r="I7" s="4">
        <v>1994346.8361427919</v>
      </c>
      <c r="J7" s="4">
        <v>3140775.325001786</v>
      </c>
      <c r="K7" s="4">
        <v>2381064.9820287051</v>
      </c>
      <c r="L7" s="4">
        <v>3853780.8672579238</v>
      </c>
      <c r="M7" s="4">
        <v>3611145.6867623292</v>
      </c>
      <c r="N7" s="4">
        <v>8045370.1035579182</v>
      </c>
      <c r="O7" s="6">
        <f t="shared" si="1"/>
        <v>44777639.112201527</v>
      </c>
    </row>
    <row r="8" spans="1:16" x14ac:dyDescent="0.25">
      <c r="A8" s="1" t="s">
        <v>19</v>
      </c>
      <c r="B8" s="6">
        <v>69799952.936870933</v>
      </c>
      <c r="C8" s="4">
        <v>12910097.35393413</v>
      </c>
      <c r="D8" s="4">
        <v>10741964.70156627</v>
      </c>
      <c r="E8" s="4">
        <v>2975150.643410285</v>
      </c>
      <c r="F8" s="4">
        <v>2672091.5392942689</v>
      </c>
      <c r="G8" s="4">
        <v>3185569.2175457869</v>
      </c>
      <c r="H8" s="4">
        <v>2871354.6305127982</v>
      </c>
      <c r="I8" s="4">
        <v>3953872.3504304499</v>
      </c>
      <c r="J8" s="4">
        <v>5405107.574555329</v>
      </c>
      <c r="K8" s="4">
        <v>5496058.774842402</v>
      </c>
      <c r="L8" s="4">
        <v>4142447.838275264</v>
      </c>
      <c r="M8" s="4">
        <v>5637252.7163802171</v>
      </c>
      <c r="N8" s="4">
        <v>14936211.121289279</v>
      </c>
      <c r="O8" s="6">
        <f t="shared" si="1"/>
        <v>74927178.462036476</v>
      </c>
    </row>
    <row r="9" spans="1:16" x14ac:dyDescent="0.25">
      <c r="A9" s="1" t="s">
        <v>20</v>
      </c>
      <c r="B9" s="6">
        <v>40498290.922362857</v>
      </c>
      <c r="C9" s="4">
        <v>8934632.0589915365</v>
      </c>
      <c r="D9" s="4">
        <v>7867668.3853159295</v>
      </c>
      <c r="E9" s="4">
        <v>2815345.1211742442</v>
      </c>
      <c r="F9" s="4">
        <v>1908258.7629694671</v>
      </c>
      <c r="G9" s="4">
        <v>1870447.363384753</v>
      </c>
      <c r="H9" s="4">
        <v>1208790.2528230071</v>
      </c>
      <c r="I9" s="4">
        <v>1717792.33447069</v>
      </c>
      <c r="J9" s="4">
        <v>2276878.486342954</v>
      </c>
      <c r="K9" s="4">
        <v>3110886.3226069938</v>
      </c>
      <c r="L9" s="4">
        <v>3078364.9584931289</v>
      </c>
      <c r="M9" s="4">
        <v>2731860.8940753308</v>
      </c>
      <c r="N9" s="4">
        <v>7033251.7407843452</v>
      </c>
      <c r="O9" s="6">
        <f t="shared" si="1"/>
        <v>44554176.681432381</v>
      </c>
    </row>
    <row r="10" spans="1:16" x14ac:dyDescent="0.25">
      <c r="A10" s="1" t="s">
        <v>21</v>
      </c>
      <c r="B10" s="6">
        <v>51805933.862945251</v>
      </c>
      <c r="C10" s="4">
        <v>7281207.4618580006</v>
      </c>
      <c r="D10" s="4">
        <v>5876983.2972505921</v>
      </c>
      <c r="E10" s="4">
        <v>2616463.5858069421</v>
      </c>
      <c r="F10" s="4">
        <v>2226182.633899767</v>
      </c>
      <c r="G10" s="4">
        <v>2141350.8851989112</v>
      </c>
      <c r="H10" s="4">
        <v>2165052.5269077551</v>
      </c>
      <c r="I10" s="4">
        <v>2328572.2198092318</v>
      </c>
      <c r="J10" s="4">
        <v>2692114.4484806522</v>
      </c>
      <c r="K10" s="4">
        <v>3753758.8130774172</v>
      </c>
      <c r="L10" s="4">
        <v>4530608.0971134463</v>
      </c>
      <c r="M10" s="4">
        <v>4569933.0316282529</v>
      </c>
      <c r="N10" s="4">
        <v>10847807.794915941</v>
      </c>
      <c r="O10" s="6">
        <f t="shared" si="1"/>
        <v>51030034.795946896</v>
      </c>
    </row>
    <row r="11" spans="1:16" x14ac:dyDescent="0.25">
      <c r="A11" s="1" t="s">
        <v>22</v>
      </c>
      <c r="B11" s="6">
        <v>106093368.42631251</v>
      </c>
      <c r="C11" s="4">
        <v>12403937.06453277</v>
      </c>
      <c r="D11" s="4">
        <v>18651400.470063198</v>
      </c>
      <c r="E11" s="4">
        <v>4942543.302227281</v>
      </c>
      <c r="F11" s="4">
        <v>4687280.5135735078</v>
      </c>
      <c r="G11" s="4">
        <v>4482689.4325487278</v>
      </c>
      <c r="H11" s="4">
        <v>4301140.725367507</v>
      </c>
      <c r="I11" s="4">
        <v>3749451.4267780972</v>
      </c>
      <c r="J11" s="4">
        <v>6251390.2463843543</v>
      </c>
      <c r="K11" s="4">
        <v>4938007.2069631554</v>
      </c>
      <c r="L11" s="4">
        <v>6957670.3396335766</v>
      </c>
      <c r="M11" s="4">
        <v>10168594.96076455</v>
      </c>
      <c r="N11" s="4">
        <v>18200498.422592688</v>
      </c>
      <c r="O11" s="6">
        <f t="shared" si="1"/>
        <v>99734604.111429408</v>
      </c>
    </row>
    <row r="12" spans="1:16" x14ac:dyDescent="0.25">
      <c r="A12" s="1" t="s">
        <v>23</v>
      </c>
      <c r="B12" s="6">
        <v>80301040.49053137</v>
      </c>
      <c r="C12" s="4">
        <v>13913233.41482446</v>
      </c>
      <c r="D12" s="4">
        <v>12974751.52092064</v>
      </c>
      <c r="E12" s="4">
        <v>4716933.100804274</v>
      </c>
      <c r="F12" s="4">
        <v>2394162.2111883331</v>
      </c>
      <c r="G12" s="4">
        <v>2589415.6393060791</v>
      </c>
      <c r="H12" s="4">
        <v>2659382.810663993</v>
      </c>
      <c r="I12" s="4">
        <v>2492792.0227259779</v>
      </c>
      <c r="J12" s="4">
        <v>4180734.2662122082</v>
      </c>
      <c r="K12" s="4">
        <v>5066925.4067858923</v>
      </c>
      <c r="L12" s="4">
        <v>6510956.0366023332</v>
      </c>
      <c r="M12" s="4">
        <v>7740997.7602726193</v>
      </c>
      <c r="N12" s="4">
        <v>10563877.115391159</v>
      </c>
      <c r="O12" s="6">
        <f t="shared" si="1"/>
        <v>75804161.305697963</v>
      </c>
    </row>
    <row r="13" spans="1:16" x14ac:dyDescent="0.25">
      <c r="A13" s="1" t="s">
        <v>24</v>
      </c>
      <c r="B13" s="6">
        <v>39640955.808314823</v>
      </c>
      <c r="C13" s="4">
        <v>7578855.6485157348</v>
      </c>
      <c r="D13" s="4">
        <v>4793449.1233354118</v>
      </c>
      <c r="E13" s="4">
        <v>1924291.3079451809</v>
      </c>
      <c r="F13" s="4">
        <v>2008041.777905396</v>
      </c>
      <c r="G13" s="4">
        <v>1232537.9526144669</v>
      </c>
      <c r="H13" s="4">
        <v>1797714.8402363141</v>
      </c>
      <c r="I13" s="4">
        <v>2333327.5955629982</v>
      </c>
      <c r="J13" s="4">
        <v>1660840.0538633871</v>
      </c>
      <c r="K13" s="4">
        <v>2743108.5572982952</v>
      </c>
      <c r="L13" s="4">
        <v>3622588.153372189</v>
      </c>
      <c r="M13" s="4">
        <v>4445234.5023694178</v>
      </c>
      <c r="N13" s="4">
        <v>6645741.0659499187</v>
      </c>
      <c r="O13" s="6">
        <f t="shared" si="1"/>
        <v>40785730.578968711</v>
      </c>
    </row>
    <row r="14" spans="1:16" x14ac:dyDescent="0.25">
      <c r="A14" s="1" t="s">
        <v>25</v>
      </c>
      <c r="B14" s="6">
        <v>37391740.923606373</v>
      </c>
      <c r="C14" s="4">
        <v>7399101.8824026454</v>
      </c>
      <c r="D14" s="4">
        <v>6681527.6386427749</v>
      </c>
      <c r="E14" s="4">
        <v>1646603.9557006159</v>
      </c>
      <c r="F14" s="4">
        <v>1617592.3806409619</v>
      </c>
      <c r="G14" s="4">
        <v>1517533.8162869141</v>
      </c>
      <c r="H14" s="4">
        <v>1619013.687440078</v>
      </c>
      <c r="I14" s="4">
        <v>1342741.440025185</v>
      </c>
      <c r="J14" s="4">
        <v>2210804.4673477691</v>
      </c>
      <c r="K14" s="4">
        <v>2780453.560443528</v>
      </c>
      <c r="L14" s="4">
        <v>2762254.1305631958</v>
      </c>
      <c r="M14" s="4">
        <v>2410491.6033460898</v>
      </c>
      <c r="N14" s="4">
        <v>4836877.4445835548</v>
      </c>
      <c r="O14" s="6">
        <f t="shared" si="1"/>
        <v>36824996.007423319</v>
      </c>
    </row>
    <row r="15" spans="1:16" x14ac:dyDescent="0.25">
      <c r="A15" s="1" t="s">
        <v>26</v>
      </c>
      <c r="B15" s="6">
        <v>43503037.939832672</v>
      </c>
      <c r="C15" s="4">
        <v>9067969.1188845485</v>
      </c>
      <c r="D15" s="4">
        <v>4945286.9301329479</v>
      </c>
      <c r="E15" s="4">
        <v>1798531.5968145391</v>
      </c>
      <c r="F15" s="4">
        <v>1949602.235630095</v>
      </c>
      <c r="G15" s="4">
        <v>1255565.1531024161</v>
      </c>
      <c r="H15" s="4">
        <v>1343193.2409828389</v>
      </c>
      <c r="I15" s="4">
        <v>1517878.2057193799</v>
      </c>
      <c r="J15" s="4">
        <v>2589203.8818097301</v>
      </c>
      <c r="K15" s="4">
        <v>3327879.1400737632</v>
      </c>
      <c r="L15" s="4">
        <v>3252926.0584589988</v>
      </c>
      <c r="M15" s="4">
        <v>2987934.6404575128</v>
      </c>
      <c r="N15" s="4">
        <v>7644003.3686821014</v>
      </c>
      <c r="O15" s="6">
        <f t="shared" si="1"/>
        <v>41679973.570748873</v>
      </c>
    </row>
    <row r="16" spans="1:16" x14ac:dyDescent="0.25">
      <c r="A16" s="1" t="s">
        <v>27</v>
      </c>
      <c r="B16" s="6">
        <v>83893384.763901979</v>
      </c>
      <c r="C16" s="4">
        <v>15300441.20681913</v>
      </c>
      <c r="D16" s="4">
        <v>13935323.60568733</v>
      </c>
      <c r="E16" s="4">
        <v>3408288.4975366248</v>
      </c>
      <c r="F16" s="4">
        <v>2374306.2663007439</v>
      </c>
      <c r="G16" s="4">
        <v>3222583.0100338189</v>
      </c>
      <c r="H16" s="4">
        <v>3377431.367985419</v>
      </c>
      <c r="I16" s="4">
        <v>3277893.6712420718</v>
      </c>
      <c r="J16" s="4">
        <v>4690603.7936097812</v>
      </c>
      <c r="K16" s="4">
        <v>5739922.486998653</v>
      </c>
      <c r="L16" s="4">
        <v>5731932.5383486608</v>
      </c>
      <c r="M16" s="4">
        <v>7403236.4119721334</v>
      </c>
      <c r="N16" s="4">
        <v>9604706.9339021556</v>
      </c>
      <c r="O16" s="6">
        <f t="shared" si="1"/>
        <v>78066669.790436521</v>
      </c>
    </row>
    <row r="17" spans="1:15" x14ac:dyDescent="0.25">
      <c r="A17" s="1" t="s">
        <v>28</v>
      </c>
      <c r="B17" s="6">
        <v>40595903.070641384</v>
      </c>
      <c r="C17" s="4">
        <v>6506992.7965312107</v>
      </c>
      <c r="D17" s="4">
        <v>5156728.74226397</v>
      </c>
      <c r="E17" s="4">
        <v>3120628.4402466621</v>
      </c>
      <c r="F17" s="4">
        <v>1498571.3591291669</v>
      </c>
      <c r="G17" s="4">
        <v>1841918.1605780669</v>
      </c>
      <c r="H17" s="4">
        <v>1239817.337966712</v>
      </c>
      <c r="I17" s="4">
        <v>1912101.9314177949</v>
      </c>
      <c r="J17" s="4">
        <v>2380626.662465719</v>
      </c>
      <c r="K17" s="4">
        <v>2362575.1533766971</v>
      </c>
      <c r="L17" s="4">
        <v>3380299.0960485009</v>
      </c>
      <c r="M17" s="4">
        <v>3834332.2181422329</v>
      </c>
      <c r="N17" s="4">
        <v>7429404.7718395051</v>
      </c>
      <c r="O17" s="6">
        <f t="shared" si="1"/>
        <v>40663996.670006238</v>
      </c>
    </row>
    <row r="18" spans="1:15" x14ac:dyDescent="0.25">
      <c r="A18" s="1" t="s">
        <v>29</v>
      </c>
      <c r="B18" s="6">
        <v>81144112.759963125</v>
      </c>
      <c r="C18" s="4">
        <v>11316124.42080204</v>
      </c>
      <c r="D18" s="4">
        <v>10303682.307419829</v>
      </c>
      <c r="E18" s="4">
        <v>4324424.6276262244</v>
      </c>
      <c r="F18" s="4">
        <v>3660223.9187377379</v>
      </c>
      <c r="G18" s="4">
        <v>2602032.0805452531</v>
      </c>
      <c r="H18" s="4">
        <v>3952223.2756628119</v>
      </c>
      <c r="I18" s="4">
        <v>4725609.6260067979</v>
      </c>
      <c r="J18" s="4">
        <v>3620446.543422414</v>
      </c>
      <c r="K18" s="4">
        <v>5094828.0487959078</v>
      </c>
      <c r="L18" s="4">
        <v>5304075.2503511403</v>
      </c>
      <c r="M18" s="4">
        <v>6898422.4086370245</v>
      </c>
      <c r="N18" s="4">
        <v>13673780.46050016</v>
      </c>
      <c r="O18" s="6">
        <f t="shared" si="1"/>
        <v>75475872.968507349</v>
      </c>
    </row>
    <row r="19" spans="1:15" x14ac:dyDescent="0.25">
      <c r="A19" s="1" t="s">
        <v>30</v>
      </c>
      <c r="B19" s="6">
        <v>67831695.389752939</v>
      </c>
      <c r="C19" s="4">
        <v>13571085.149767481</v>
      </c>
      <c r="D19" s="4">
        <v>8944761.9825804774</v>
      </c>
      <c r="E19" s="4">
        <v>3933731.5119719119</v>
      </c>
      <c r="F19" s="4">
        <v>3179760.2325660079</v>
      </c>
      <c r="G19" s="4">
        <v>2769469.2647153498</v>
      </c>
      <c r="H19" s="4">
        <v>1773059.442821685</v>
      </c>
      <c r="I19" s="4">
        <v>3448971.8644326841</v>
      </c>
      <c r="J19" s="4">
        <v>4574951.4314472983</v>
      </c>
      <c r="K19" s="4">
        <v>4471717.3865386639</v>
      </c>
      <c r="L19" s="4">
        <v>4198320.467985942</v>
      </c>
      <c r="M19" s="4">
        <v>5972831.3581741732</v>
      </c>
      <c r="N19" s="4">
        <v>13559339.753788089</v>
      </c>
      <c r="O19" s="6">
        <f t="shared" si="1"/>
        <v>70397999.846789762</v>
      </c>
    </row>
    <row r="20" spans="1:15" x14ac:dyDescent="0.25">
      <c r="A20" s="1" t="s">
        <v>31</v>
      </c>
      <c r="B20" s="6">
        <v>75091879.50145714</v>
      </c>
      <c r="C20" s="4">
        <v>10287737.519529499</v>
      </c>
      <c r="D20" s="4">
        <v>14898681.92326222</v>
      </c>
      <c r="E20" s="4">
        <v>5539774.8613026533</v>
      </c>
      <c r="F20" s="4">
        <v>3461825.4484062032</v>
      </c>
      <c r="G20" s="4">
        <v>3063605.8783444189</v>
      </c>
      <c r="H20" s="4">
        <v>2099417.5995490518</v>
      </c>
      <c r="I20" s="4">
        <v>4688815.7043374525</v>
      </c>
      <c r="J20" s="4">
        <v>5183069.6662861556</v>
      </c>
      <c r="K20" s="4">
        <v>5491863.0983089413</v>
      </c>
      <c r="L20" s="4">
        <v>6710057.544095776</v>
      </c>
      <c r="M20" s="4">
        <v>5304809.305165912</v>
      </c>
      <c r="N20" s="4">
        <v>12829429.686140319</v>
      </c>
      <c r="O20" s="6">
        <f t="shared" si="1"/>
        <v>79559088.234728605</v>
      </c>
    </row>
    <row r="21" spans="1:15" x14ac:dyDescent="0.25">
      <c r="A21" s="1" t="s">
        <v>32</v>
      </c>
      <c r="B21" s="6">
        <v>39462440.382516339</v>
      </c>
      <c r="C21" s="4">
        <v>7560007.8904416543</v>
      </c>
      <c r="D21" s="4">
        <v>4798056.2137071854</v>
      </c>
      <c r="E21" s="4">
        <v>2948258.9455282558</v>
      </c>
      <c r="F21" s="4">
        <v>1940632.2189917469</v>
      </c>
      <c r="G21" s="4">
        <v>1535861.6624570789</v>
      </c>
      <c r="H21" s="4">
        <v>1211719.572310986</v>
      </c>
      <c r="I21" s="4">
        <v>2205859.0302614719</v>
      </c>
      <c r="J21" s="4">
        <v>2835725.4869187111</v>
      </c>
      <c r="K21" s="4">
        <v>2995878.8906129268</v>
      </c>
      <c r="L21" s="4">
        <v>2685175.3054156592</v>
      </c>
      <c r="M21" s="4">
        <v>4186096.2977127531</v>
      </c>
      <c r="N21" s="4">
        <v>6253826.526413017</v>
      </c>
      <c r="O21" s="6">
        <f t="shared" si="1"/>
        <v>41157098.040771447</v>
      </c>
    </row>
    <row r="22" spans="1:15" x14ac:dyDescent="0.25">
      <c r="A22" s="9" t="s">
        <v>33</v>
      </c>
      <c r="B22" s="7">
        <v>96195304.462810338</v>
      </c>
      <c r="C22" s="10">
        <v>16263957.891004181</v>
      </c>
      <c r="D22" s="10">
        <v>12046516.71531458</v>
      </c>
      <c r="E22" s="10">
        <v>5212014.7664626576</v>
      </c>
      <c r="F22" s="10">
        <v>4642245.8754640371</v>
      </c>
      <c r="G22" s="10">
        <v>2947957.8807668942</v>
      </c>
      <c r="H22" s="10">
        <v>4164815.5665611299</v>
      </c>
      <c r="I22" s="10">
        <v>4105509.6781881512</v>
      </c>
      <c r="J22" s="10">
        <v>6388175.2434406122</v>
      </c>
      <c r="K22" s="10">
        <v>7247025.7048237855</v>
      </c>
      <c r="L22" s="10">
        <v>5237172.8991615959</v>
      </c>
      <c r="M22" s="10">
        <v>8437031.8779938575</v>
      </c>
      <c r="N22" s="10">
        <v>15276583.973492879</v>
      </c>
      <c r="O22" s="7">
        <f t="shared" si="1"/>
        <v>91969008.072674349</v>
      </c>
    </row>
    <row r="23" spans="1:15" x14ac:dyDescent="0.25">
      <c r="A23" s="9" t="s">
        <v>34</v>
      </c>
      <c r="B23" s="7">
        <v>93534237.236925185</v>
      </c>
      <c r="C23" s="10">
        <v>14828196.501432391</v>
      </c>
      <c r="D23" s="10">
        <v>12524920.39303934</v>
      </c>
      <c r="E23" s="10">
        <v>5962726.883425978</v>
      </c>
      <c r="F23" s="10">
        <v>2949314.4389673509</v>
      </c>
      <c r="G23" s="10">
        <v>3323466.1256989222</v>
      </c>
      <c r="H23" s="10">
        <v>2881220.3213864951</v>
      </c>
      <c r="I23" s="10">
        <v>2896348.0861779982</v>
      </c>
      <c r="J23" s="10">
        <v>5552548.0536097772</v>
      </c>
      <c r="K23" s="10">
        <v>5830987.3375546876</v>
      </c>
      <c r="L23" s="10">
        <v>7945593.1415764131</v>
      </c>
      <c r="M23" s="10">
        <v>7655392.0569093693</v>
      </c>
      <c r="N23" s="10">
        <v>14494039.125458419</v>
      </c>
      <c r="O23" s="7">
        <f t="shared" si="1"/>
        <v>86844752.465237141</v>
      </c>
    </row>
    <row r="24" spans="1:15" x14ac:dyDescent="0.25">
      <c r="A24" s="9" t="s">
        <v>35</v>
      </c>
      <c r="B24" s="7">
        <v>94126684.661025509</v>
      </c>
      <c r="C24" s="10">
        <v>13685948.936573779</v>
      </c>
      <c r="D24" s="10">
        <v>11566573.856896039</v>
      </c>
      <c r="E24" s="10">
        <v>6756591.1117239613</v>
      </c>
      <c r="F24" s="10">
        <v>4558083.7517570043</v>
      </c>
      <c r="G24" s="10">
        <v>3624150.466172325</v>
      </c>
      <c r="H24" s="10">
        <v>4845694.7447250132</v>
      </c>
      <c r="I24" s="10">
        <v>4428885.9436786929</v>
      </c>
      <c r="J24" s="10">
        <v>7312855.0643203398</v>
      </c>
      <c r="K24" s="10">
        <v>7514828.8579320079</v>
      </c>
      <c r="L24" s="10">
        <v>7094546.1586383646</v>
      </c>
      <c r="M24" s="10">
        <v>6543182.172139206</v>
      </c>
      <c r="N24" s="10">
        <v>16740993.48520107</v>
      </c>
      <c r="O24" s="7">
        <f t="shared" si="1"/>
        <v>94672334.549757808</v>
      </c>
    </row>
    <row r="25" spans="1:15" x14ac:dyDescent="0.25">
      <c r="A25" s="9" t="s">
        <v>36</v>
      </c>
      <c r="B25" s="7">
        <v>104506552.1858125</v>
      </c>
      <c r="C25" s="10">
        <v>16547894.01480997</v>
      </c>
      <c r="D25" s="10">
        <v>12414481.53713464</v>
      </c>
      <c r="E25" s="10">
        <v>5139605.7937444914</v>
      </c>
      <c r="F25" s="10">
        <v>6042088.9741101405</v>
      </c>
      <c r="G25" s="10">
        <v>3115184.402218136</v>
      </c>
      <c r="H25" s="10">
        <v>4548935.1204313291</v>
      </c>
      <c r="I25" s="10">
        <v>3805926.9968581139</v>
      </c>
      <c r="J25" s="10">
        <v>7467427.7571052201</v>
      </c>
      <c r="K25" s="10">
        <v>6946770.8011180414</v>
      </c>
      <c r="L25" s="10">
        <v>5660470.6080538575</v>
      </c>
      <c r="M25" s="10">
        <v>11040924.400615711</v>
      </c>
      <c r="N25" s="10">
        <v>17836308.48449675</v>
      </c>
      <c r="O25" s="7">
        <f t="shared" si="1"/>
        <v>100566018.89069638</v>
      </c>
    </row>
    <row r="26" spans="1:15" x14ac:dyDescent="0.25">
      <c r="A26" s="1" t="s">
        <v>37</v>
      </c>
      <c r="B26" s="6">
        <v>67804886.11600703</v>
      </c>
      <c r="C26" s="4">
        <v>14333498.04993232</v>
      </c>
      <c r="D26" s="4">
        <v>9491352.9115816429</v>
      </c>
      <c r="E26" s="4">
        <v>3597351.1644643382</v>
      </c>
      <c r="F26" s="4">
        <v>3099465.6816028231</v>
      </c>
      <c r="G26" s="4">
        <v>2502137.4936085078</v>
      </c>
      <c r="H26" s="4">
        <v>2297792.9280149071</v>
      </c>
      <c r="I26" s="4">
        <v>2858714.9102444518</v>
      </c>
      <c r="J26" s="4">
        <v>5978301.7055417877</v>
      </c>
      <c r="K26" s="4">
        <v>4148212.9830449671</v>
      </c>
      <c r="L26" s="4">
        <v>6312570.7926970376</v>
      </c>
      <c r="M26" s="4">
        <v>5449322.83137199</v>
      </c>
      <c r="N26" s="4">
        <v>13015573.052885599</v>
      </c>
      <c r="O26" s="6">
        <f t="shared" si="1"/>
        <v>73084294.504990369</v>
      </c>
    </row>
    <row r="27" spans="1:15" x14ac:dyDescent="0.25">
      <c r="A27" s="9" t="s">
        <v>38</v>
      </c>
      <c r="B27" s="7">
        <v>95519697.148764834</v>
      </c>
      <c r="C27" s="10">
        <v>18423206.835251611</v>
      </c>
      <c r="D27" s="10">
        <v>12731675.377915669</v>
      </c>
      <c r="E27" s="10">
        <v>3420383.3976840549</v>
      </c>
      <c r="F27" s="10">
        <v>5266049.8638750045</v>
      </c>
      <c r="G27" s="10">
        <v>2362205.0416199998</v>
      </c>
      <c r="H27" s="10">
        <v>3026795.93015244</v>
      </c>
      <c r="I27" s="10">
        <v>4147249.6976416199</v>
      </c>
      <c r="J27" s="10">
        <v>6005686.0613640528</v>
      </c>
      <c r="K27" s="10">
        <v>6773052.0860881452</v>
      </c>
      <c r="L27" s="10">
        <v>6909196.8223210657</v>
      </c>
      <c r="M27" s="10">
        <v>6850354.7550764447</v>
      </c>
      <c r="N27" s="10">
        <v>19462123.237996992</v>
      </c>
      <c r="O27" s="7">
        <f t="shared" si="1"/>
        <v>95377979.106987089</v>
      </c>
    </row>
    <row r="28" spans="1:15" x14ac:dyDescent="0.25">
      <c r="A28" s="9" t="s">
        <v>39</v>
      </c>
      <c r="B28" s="7">
        <v>97203673.884565517</v>
      </c>
      <c r="C28" s="10">
        <v>19710264.52209492</v>
      </c>
      <c r="D28" s="10">
        <v>16194395.049403621</v>
      </c>
      <c r="E28" s="10">
        <v>4075193.8503638222</v>
      </c>
      <c r="F28" s="10">
        <v>3935270.232933037</v>
      </c>
      <c r="G28" s="10">
        <v>3550739.0768645569</v>
      </c>
      <c r="H28" s="10">
        <v>3591844.461033971</v>
      </c>
      <c r="I28" s="10">
        <v>5370245.0270677293</v>
      </c>
      <c r="J28" s="10">
        <v>4526557.4981973721</v>
      </c>
      <c r="K28" s="10">
        <v>6885594.1587376799</v>
      </c>
      <c r="L28" s="10">
        <v>6621387.4589404184</v>
      </c>
      <c r="M28" s="10">
        <v>9388994.5669462681</v>
      </c>
      <c r="N28" s="10">
        <v>14636649.81511944</v>
      </c>
      <c r="O28" s="7">
        <f t="shared" si="1"/>
        <v>98487135.717702836</v>
      </c>
    </row>
    <row r="29" spans="1:15" x14ac:dyDescent="0.25">
      <c r="A29" s="1" t="s">
        <v>40</v>
      </c>
      <c r="B29" s="6">
        <v>58347556.023858547</v>
      </c>
      <c r="C29" s="4">
        <v>7974550.0792709421</v>
      </c>
      <c r="D29" s="4">
        <v>7693591.2095848508</v>
      </c>
      <c r="E29" s="4">
        <v>4398495.2452220405</v>
      </c>
      <c r="F29" s="4">
        <v>2585712.717083653</v>
      </c>
      <c r="G29" s="4">
        <v>2873459.1472051102</v>
      </c>
      <c r="H29" s="4">
        <v>2359113.1692847679</v>
      </c>
      <c r="I29" s="4">
        <v>2102626.54920218</v>
      </c>
      <c r="J29" s="4">
        <v>4100929.850408731</v>
      </c>
      <c r="K29" s="4">
        <v>2975230.0716603068</v>
      </c>
      <c r="L29" s="4">
        <v>5562668.4675681451</v>
      </c>
      <c r="M29" s="4">
        <v>3689822.2303480669</v>
      </c>
      <c r="N29" s="4">
        <v>12840571.502662661</v>
      </c>
      <c r="O29" s="6">
        <f t="shared" si="1"/>
        <v>59156770.239501454</v>
      </c>
    </row>
    <row r="30" spans="1:15" x14ac:dyDescent="0.25">
      <c r="A30" s="1" t="s">
        <v>41</v>
      </c>
      <c r="B30" s="6">
        <v>35458388.408460379</v>
      </c>
      <c r="C30" s="4">
        <v>5421924.7759594601</v>
      </c>
      <c r="D30" s="4">
        <v>6766629.8919028407</v>
      </c>
      <c r="E30" s="4">
        <v>1978944.780466463</v>
      </c>
      <c r="F30" s="4">
        <v>1819922.1160266211</v>
      </c>
      <c r="G30" s="4">
        <v>1522432.268034288</v>
      </c>
      <c r="H30" s="4">
        <v>1018940.485317415</v>
      </c>
      <c r="I30" s="4">
        <v>2000876.773284432</v>
      </c>
      <c r="J30" s="4">
        <v>2490995.011681594</v>
      </c>
      <c r="K30" s="4">
        <v>1846689.963704023</v>
      </c>
      <c r="L30" s="4">
        <v>2734381.4399749241</v>
      </c>
      <c r="M30" s="4">
        <v>2604340.5392863178</v>
      </c>
      <c r="N30" s="4">
        <v>7611808.6867831172</v>
      </c>
      <c r="O30" s="6">
        <f t="shared" si="1"/>
        <v>37817886.732421495</v>
      </c>
    </row>
    <row r="31" spans="1:15" x14ac:dyDescent="0.25">
      <c r="A31" s="1" t="s">
        <v>42</v>
      </c>
      <c r="B31" s="6">
        <v>26331590.604482051</v>
      </c>
      <c r="C31" s="4">
        <v>4037259.867891707</v>
      </c>
      <c r="D31" s="4">
        <v>4187640.521705748</v>
      </c>
      <c r="E31" s="4">
        <v>1523820.4405787899</v>
      </c>
      <c r="F31" s="4">
        <v>851407.55745828303</v>
      </c>
      <c r="G31" s="4">
        <v>1068348.2168663009</v>
      </c>
      <c r="H31" s="4">
        <v>750399.02414260805</v>
      </c>
      <c r="I31" s="4">
        <v>1318637.215562925</v>
      </c>
      <c r="J31" s="4">
        <v>1333396.8777894769</v>
      </c>
      <c r="K31" s="4">
        <v>1241190.1841251759</v>
      </c>
      <c r="L31" s="4">
        <v>2031016.6248462291</v>
      </c>
      <c r="M31" s="4">
        <v>2373697.639815202</v>
      </c>
      <c r="N31" s="4">
        <v>4983669.9767254135</v>
      </c>
      <c r="O31" s="6">
        <f t="shared" si="1"/>
        <v>25700484.147507861</v>
      </c>
    </row>
    <row r="32" spans="1:15" x14ac:dyDescent="0.25">
      <c r="A32" s="16" t="s">
        <v>73</v>
      </c>
      <c r="B32" s="17">
        <v>105475500</v>
      </c>
      <c r="C32" s="18">
        <v>95460000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f t="shared" si="1"/>
        <v>95460000</v>
      </c>
    </row>
    <row r="33" spans="1:15" x14ac:dyDescent="0.25">
      <c r="A33" s="9" t="s">
        <v>74</v>
      </c>
      <c r="B33" s="7">
        <v>7659500</v>
      </c>
      <c r="C33" s="19">
        <v>7600000</v>
      </c>
      <c r="D33" s="10">
        <v>8600000</v>
      </c>
      <c r="E33" s="10">
        <v>5600000</v>
      </c>
      <c r="F33" s="10">
        <v>8350000</v>
      </c>
      <c r="G33" s="10">
        <v>7800000</v>
      </c>
      <c r="H33" s="10">
        <v>5400000</v>
      </c>
      <c r="I33" s="10">
        <v>9740000</v>
      </c>
      <c r="J33" s="10">
        <v>8670000</v>
      </c>
      <c r="K33" s="10">
        <v>4670000</v>
      </c>
      <c r="L33" s="10">
        <v>6780000</v>
      </c>
      <c r="M33" s="10">
        <v>11000000</v>
      </c>
      <c r="N33" s="10">
        <v>6700000</v>
      </c>
      <c r="O33" s="10">
        <v>6700000</v>
      </c>
    </row>
    <row r="34" spans="1:15" x14ac:dyDescent="0.25">
      <c r="A34" s="2" t="s">
        <v>72</v>
      </c>
      <c r="B34" s="6">
        <f>SUM(B35:B64)</f>
        <v>1909276520.2247813</v>
      </c>
      <c r="C34" s="6">
        <f t="shared" ref="C34:O34" si="2">SUM(C35:C64)</f>
        <v>407948551.98987293</v>
      </c>
      <c r="D34" s="6">
        <f t="shared" si="2"/>
        <v>270891299.7777003</v>
      </c>
      <c r="E34" s="6">
        <f t="shared" si="2"/>
        <v>103812138.02727014</v>
      </c>
      <c r="F34" s="6">
        <f t="shared" si="2"/>
        <v>87071408.273372859</v>
      </c>
      <c r="G34" s="6">
        <f t="shared" si="2"/>
        <v>74444777.538029939</v>
      </c>
      <c r="H34" s="6">
        <f t="shared" si="2"/>
        <v>72462847.859976634</v>
      </c>
      <c r="I34" s="6">
        <f t="shared" si="2"/>
        <v>89826825.358466879</v>
      </c>
      <c r="J34" s="6">
        <f t="shared" si="2"/>
        <v>120208538.28839912</v>
      </c>
      <c r="K34" s="6">
        <f t="shared" si="2"/>
        <v>124353901.72720878</v>
      </c>
      <c r="L34" s="6">
        <f t="shared" si="2"/>
        <v>139751931.88343716</v>
      </c>
      <c r="M34" s="6">
        <f t="shared" si="2"/>
        <v>163494061.67390293</v>
      </c>
      <c r="N34" s="6">
        <f t="shared" si="2"/>
        <v>317406636.83945107</v>
      </c>
      <c r="O34" s="6">
        <f t="shared" si="2"/>
        <v>1888362919.2370884</v>
      </c>
    </row>
    <row r="35" spans="1:15" x14ac:dyDescent="0.25">
      <c r="A35" s="9" t="s">
        <v>43</v>
      </c>
      <c r="B35" s="7">
        <v>81413082.575431079</v>
      </c>
      <c r="C35" s="10">
        <v>15143589.68977304</v>
      </c>
      <c r="D35" s="10">
        <v>15310059.74917141</v>
      </c>
      <c r="E35" s="10">
        <v>2805713.673819738</v>
      </c>
      <c r="F35" s="10">
        <v>4673236.5297955787</v>
      </c>
      <c r="G35" s="10">
        <v>1276559.6104405019</v>
      </c>
      <c r="H35" s="10">
        <v>4180621.7118643271</v>
      </c>
      <c r="I35" s="10">
        <v>3147711.4588329741</v>
      </c>
      <c r="J35" s="10">
        <v>1752436.7759041479</v>
      </c>
      <c r="K35" s="10">
        <v>4241515.6317139314</v>
      </c>
      <c r="L35" s="10">
        <v>9516209.039897006</v>
      </c>
      <c r="M35" s="10">
        <v>9875890.128243858</v>
      </c>
      <c r="N35" s="10">
        <v>10175503.92992058</v>
      </c>
      <c r="O35" s="10">
        <f>SUM(C35:N35)</f>
        <v>82099047.929377109</v>
      </c>
    </row>
    <row r="36" spans="1:15" x14ac:dyDescent="0.25">
      <c r="A36" s="9" t="s">
        <v>44</v>
      </c>
      <c r="B36" s="7">
        <v>90214688.64205876</v>
      </c>
      <c r="C36" s="10">
        <v>10631102.74568891</v>
      </c>
      <c r="D36" s="10">
        <v>8057504.2915630601</v>
      </c>
      <c r="E36" s="10">
        <v>6495419.5339151714</v>
      </c>
      <c r="F36" s="10">
        <v>736174.66503878892</v>
      </c>
      <c r="G36" s="10">
        <v>4129847.7255863841</v>
      </c>
      <c r="H36" s="10">
        <v>3866809.886260848</v>
      </c>
      <c r="I36" s="10">
        <v>1303244.2580212741</v>
      </c>
      <c r="J36" s="10">
        <v>2533541.8032573778</v>
      </c>
      <c r="K36" s="10">
        <v>5525653.1835206226</v>
      </c>
      <c r="L36" s="10">
        <v>8530629.2163566072</v>
      </c>
      <c r="M36" s="10">
        <v>11630546.47456567</v>
      </c>
      <c r="N36" s="10">
        <v>20831372.822904602</v>
      </c>
      <c r="O36" s="10">
        <f t="shared" ref="O36:O63" si="3">SUM(C36:N36)</f>
        <v>84271846.60667932</v>
      </c>
    </row>
    <row r="37" spans="1:15" x14ac:dyDescent="0.25">
      <c r="A37" s="9" t="s">
        <v>45</v>
      </c>
      <c r="B37" s="7">
        <v>85051941.606121734</v>
      </c>
      <c r="C37" s="10">
        <v>8500963.6545402333</v>
      </c>
      <c r="D37" s="10">
        <v>4119550.7734982669</v>
      </c>
      <c r="E37" s="10">
        <v>3228693.9183862139</v>
      </c>
      <c r="F37" s="10">
        <v>3657911.3291423339</v>
      </c>
      <c r="G37" s="10">
        <v>3050638.2834261712</v>
      </c>
      <c r="H37" s="10">
        <v>485109.78255711152</v>
      </c>
      <c r="I37" s="10">
        <v>3754025.3799810391</v>
      </c>
      <c r="J37" s="10">
        <v>6681820.6881383294</v>
      </c>
      <c r="K37" s="10">
        <v>8878932.3333292231</v>
      </c>
      <c r="L37" s="10">
        <v>10033722.907172941</v>
      </c>
      <c r="M37" s="10">
        <v>11286617.299823079</v>
      </c>
      <c r="N37" s="10">
        <v>20179618.359836549</v>
      </c>
      <c r="O37" s="10">
        <f t="shared" si="3"/>
        <v>83857604.709831491</v>
      </c>
    </row>
    <row r="38" spans="1:15" x14ac:dyDescent="0.25">
      <c r="A38" s="1" t="s">
        <v>46</v>
      </c>
      <c r="B38" s="6">
        <v>68564349.995926991</v>
      </c>
      <c r="C38" s="4">
        <v>1471859.2468195129</v>
      </c>
      <c r="D38" s="4">
        <v>19616933.50197142</v>
      </c>
      <c r="E38" s="4">
        <v>1795402.8793480641</v>
      </c>
      <c r="F38" s="4">
        <v>2103735.239430632</v>
      </c>
      <c r="G38" s="4">
        <v>2130434.2766712792</v>
      </c>
      <c r="H38" s="4">
        <v>4307193.8619375899</v>
      </c>
      <c r="I38" s="4">
        <v>3514346.6289378749</v>
      </c>
      <c r="J38" s="4">
        <v>2557723.3963860269</v>
      </c>
      <c r="K38" s="4">
        <v>3629935.050772273</v>
      </c>
      <c r="L38" s="4">
        <v>9620737.2892156336</v>
      </c>
      <c r="M38" s="4">
        <v>10063020.513221219</v>
      </c>
      <c r="N38" s="4">
        <v>2888762.2351943841</v>
      </c>
      <c r="O38" s="4">
        <f t="shared" si="3"/>
        <v>63700084.119905911</v>
      </c>
    </row>
    <row r="39" spans="1:15" x14ac:dyDescent="0.25">
      <c r="A39" s="1" t="s">
        <v>47</v>
      </c>
      <c r="B39" s="6">
        <v>56585106.356811643</v>
      </c>
      <c r="C39" s="4">
        <v>7517059.6131632105</v>
      </c>
      <c r="D39" s="4">
        <v>7965370.5022591893</v>
      </c>
      <c r="E39" s="4">
        <v>1434811.270408063</v>
      </c>
      <c r="F39" s="4">
        <v>3696735.5375108002</v>
      </c>
      <c r="G39" s="4">
        <v>1038885.488589173</v>
      </c>
      <c r="H39" s="4">
        <v>2592234.9868326099</v>
      </c>
      <c r="I39" s="4">
        <v>5436415.968635411</v>
      </c>
      <c r="J39" s="4">
        <v>6154579.3797178548</v>
      </c>
      <c r="K39" s="4">
        <v>963016.32817390864</v>
      </c>
      <c r="L39" s="4">
        <v>2199706.0912389909</v>
      </c>
      <c r="M39" s="4">
        <v>5050789.0485149482</v>
      </c>
      <c r="N39" s="4">
        <v>13570887.603549751</v>
      </c>
      <c r="O39" s="4">
        <f t="shared" si="3"/>
        <v>57620491.818593904</v>
      </c>
    </row>
    <row r="40" spans="1:15" x14ac:dyDescent="0.25">
      <c r="A40" s="1" t="s">
        <v>48</v>
      </c>
      <c r="B40" s="6">
        <v>63123847.291186407</v>
      </c>
      <c r="C40" s="4">
        <v>11684979.04079986</v>
      </c>
      <c r="D40" s="4">
        <v>5388389.8246816816</v>
      </c>
      <c r="E40" s="4">
        <v>2281609.9005930638</v>
      </c>
      <c r="F40" s="4">
        <v>1338436.0218014331</v>
      </c>
      <c r="G40" s="4">
        <v>4003692.509412711</v>
      </c>
      <c r="H40" s="4">
        <v>3143787.2182090138</v>
      </c>
      <c r="I40" s="4">
        <v>2387250.4256742988</v>
      </c>
      <c r="J40" s="4">
        <v>5079513.2055635909</v>
      </c>
      <c r="K40" s="4">
        <v>5042215.971715278</v>
      </c>
      <c r="L40" s="4">
        <v>5594950.9174837116</v>
      </c>
      <c r="M40" s="4">
        <v>4495309.7284028949</v>
      </c>
      <c r="N40" s="4">
        <v>10254254.28277068</v>
      </c>
      <c r="O40" s="4">
        <f t="shared" si="3"/>
        <v>60694389.047108218</v>
      </c>
    </row>
    <row r="41" spans="1:15" x14ac:dyDescent="0.25">
      <c r="A41" s="9" t="s">
        <v>49</v>
      </c>
      <c r="B41" s="7">
        <v>82343913.110228866</v>
      </c>
      <c r="C41" s="10">
        <v>29789805.155646659</v>
      </c>
      <c r="D41" s="10">
        <v>16799661.068858441</v>
      </c>
      <c r="E41" s="10">
        <v>5479296.8673344282</v>
      </c>
      <c r="F41" s="10">
        <v>815944.51073459664</v>
      </c>
      <c r="G41" s="10">
        <v>2342540.8163873358</v>
      </c>
      <c r="H41" s="10">
        <v>1654292.7989496361</v>
      </c>
      <c r="I41" s="10">
        <v>516370.25814567611</v>
      </c>
      <c r="J41" s="10">
        <v>2866540.2404267141</v>
      </c>
      <c r="K41" s="10">
        <v>719740.57621777779</v>
      </c>
      <c r="L41" s="10">
        <v>2487978.0238716258</v>
      </c>
      <c r="M41" s="10">
        <v>9774413.9570613597</v>
      </c>
      <c r="N41" s="10">
        <v>14412912.523945199</v>
      </c>
      <c r="O41" s="7">
        <f t="shared" si="3"/>
        <v>87659496.797579437</v>
      </c>
    </row>
    <row r="42" spans="1:15" x14ac:dyDescent="0.25">
      <c r="A42" s="1" t="s">
        <v>50</v>
      </c>
      <c r="B42" s="6">
        <v>59965703.335465468</v>
      </c>
      <c r="C42" s="4">
        <v>21115398.577986479</v>
      </c>
      <c r="D42" s="4">
        <v>1699483.929916187</v>
      </c>
      <c r="E42" s="4">
        <v>1085547.0124378731</v>
      </c>
      <c r="F42" s="4">
        <v>141603.29424914031</v>
      </c>
      <c r="G42" s="4">
        <v>452991.3640995773</v>
      </c>
      <c r="H42" s="4">
        <v>456378.05068486981</v>
      </c>
      <c r="I42" s="4">
        <v>5576504.9490769329</v>
      </c>
      <c r="J42" s="4">
        <v>6482914.7651719525</v>
      </c>
      <c r="K42" s="4">
        <v>1981594.3382694609</v>
      </c>
      <c r="L42" s="4">
        <v>2698409.6401000349</v>
      </c>
      <c r="M42" s="4">
        <v>11758207.69713613</v>
      </c>
      <c r="N42" s="4">
        <v>11971898.867749101</v>
      </c>
      <c r="O42" s="4">
        <f t="shared" si="3"/>
        <v>65420932.486877732</v>
      </c>
    </row>
    <row r="43" spans="1:15" x14ac:dyDescent="0.25">
      <c r="A43" s="1" t="s">
        <v>51</v>
      </c>
      <c r="B43" s="6">
        <v>72392290.685006663</v>
      </c>
      <c r="C43" s="4">
        <v>11139580.06989133</v>
      </c>
      <c r="D43" s="4">
        <v>9991251.7398535702</v>
      </c>
      <c r="E43" s="4">
        <v>1802003.8560931459</v>
      </c>
      <c r="F43" s="4">
        <v>3828572.7256142818</v>
      </c>
      <c r="G43" s="4">
        <v>3369158.2431657598</v>
      </c>
      <c r="H43" s="4">
        <v>2324066.9178019408</v>
      </c>
      <c r="I43" s="4">
        <v>4766416.8911542939</v>
      </c>
      <c r="J43" s="4">
        <v>821000.29309188749</v>
      </c>
      <c r="K43" s="4">
        <v>5856411.3352800747</v>
      </c>
      <c r="L43" s="4">
        <v>10520945.954040561</v>
      </c>
      <c r="M43" s="4">
        <v>1824271.8709885881</v>
      </c>
      <c r="N43" s="4">
        <v>10397449.45030172</v>
      </c>
      <c r="O43" s="4">
        <f t="shared" si="3"/>
        <v>66641129.347277157</v>
      </c>
    </row>
    <row r="44" spans="1:15" x14ac:dyDescent="0.25">
      <c r="A44" s="9" t="s">
        <v>52</v>
      </c>
      <c r="B44" s="7">
        <v>68000305.301012859</v>
      </c>
      <c r="C44" s="10">
        <v>19047788.812669441</v>
      </c>
      <c r="D44" s="10">
        <v>7228341.3784366129</v>
      </c>
      <c r="E44" s="10">
        <v>6385674.5037789932</v>
      </c>
      <c r="F44" s="10">
        <v>3184546.6082112351</v>
      </c>
      <c r="G44" s="10">
        <v>2223734.0197303742</v>
      </c>
      <c r="H44" s="10">
        <v>4069954.3164685662</v>
      </c>
      <c r="I44" s="10">
        <v>92407.412987584437</v>
      </c>
      <c r="J44" s="10">
        <v>6301135.9304927066</v>
      </c>
      <c r="K44" s="10">
        <v>1252220.9948301739</v>
      </c>
      <c r="L44" s="10">
        <v>4031124.873599194</v>
      </c>
      <c r="M44" s="10">
        <v>5977210.4311081339</v>
      </c>
      <c r="N44" s="10">
        <v>10009361.5347225</v>
      </c>
      <c r="O44" s="7">
        <f t="shared" si="3"/>
        <v>69803500.817035526</v>
      </c>
    </row>
    <row r="45" spans="1:15" x14ac:dyDescent="0.25">
      <c r="A45" s="1" t="s">
        <v>53</v>
      </c>
      <c r="B45" s="6">
        <v>49365135.012713648</v>
      </c>
      <c r="C45" s="4">
        <v>1191226.7090328541</v>
      </c>
      <c r="D45" s="4">
        <v>6790988.9718738114</v>
      </c>
      <c r="E45" s="4">
        <v>2361946.7657164629</v>
      </c>
      <c r="F45" s="4">
        <v>6273037.380231875</v>
      </c>
      <c r="G45" s="4">
        <v>4259739.2309985422</v>
      </c>
      <c r="H45" s="4">
        <v>2634726.7918369509</v>
      </c>
      <c r="I45" s="4">
        <v>5420984.6404540893</v>
      </c>
      <c r="J45" s="4">
        <v>6263623.2212043116</v>
      </c>
      <c r="K45" s="4">
        <v>3645118.6046153698</v>
      </c>
      <c r="L45" s="4">
        <v>1243531.7922379151</v>
      </c>
      <c r="M45" s="4">
        <v>7429507.698197539</v>
      </c>
      <c r="N45" s="4">
        <v>6784302.2842476759</v>
      </c>
      <c r="O45" s="4">
        <f t="shared" si="3"/>
        <v>54298734.090647392</v>
      </c>
    </row>
    <row r="46" spans="1:15" x14ac:dyDescent="0.25">
      <c r="A46" s="1" t="s">
        <v>54</v>
      </c>
      <c r="B46" s="6">
        <v>69508588.917000562</v>
      </c>
      <c r="C46" s="4">
        <v>294492.62344628491</v>
      </c>
      <c r="D46" s="4">
        <v>21012388.508767661</v>
      </c>
      <c r="E46" s="4">
        <v>6416515.1571481209</v>
      </c>
      <c r="F46" s="4">
        <v>3521731.5473300419</v>
      </c>
      <c r="G46" s="4">
        <v>2871703.2568246671</v>
      </c>
      <c r="H46" s="4">
        <v>3015804.5722020059</v>
      </c>
      <c r="I46" s="4">
        <v>5381321.9419792239</v>
      </c>
      <c r="J46" s="4">
        <v>3390362.5795806181</v>
      </c>
      <c r="K46" s="4">
        <v>5654862.1600590618</v>
      </c>
      <c r="L46" s="4">
        <v>2408453.869814917</v>
      </c>
      <c r="M46" s="4">
        <v>2966213.5341743762</v>
      </c>
      <c r="N46" s="4">
        <v>10966140.692613861</v>
      </c>
      <c r="O46" s="4">
        <f t="shared" si="3"/>
        <v>67899990.443940833</v>
      </c>
    </row>
    <row r="47" spans="1:15" x14ac:dyDescent="0.25">
      <c r="A47" s="1" t="s">
        <v>55</v>
      </c>
      <c r="B47" s="6">
        <v>64828028.88299574</v>
      </c>
      <c r="C47" s="4">
        <v>6928318.9402077263</v>
      </c>
      <c r="D47" s="4">
        <v>647876.74093669583</v>
      </c>
      <c r="E47" s="4">
        <v>2438825.4978382019</v>
      </c>
      <c r="F47" s="4">
        <v>4920033.0838792287</v>
      </c>
      <c r="G47" s="4">
        <v>1287094.385143874</v>
      </c>
      <c r="H47" s="4">
        <v>3889782.6522395541</v>
      </c>
      <c r="I47" s="4">
        <v>4080122.568389948</v>
      </c>
      <c r="J47" s="4">
        <v>4737855.7110800371</v>
      </c>
      <c r="K47" s="4">
        <v>8658531.6552449688</v>
      </c>
      <c r="L47" s="4">
        <v>784721.16267979459</v>
      </c>
      <c r="M47" s="4">
        <v>2187542.046402256</v>
      </c>
      <c r="N47" s="4">
        <v>19097782.59899075</v>
      </c>
      <c r="O47" s="4">
        <f t="shared" si="3"/>
        <v>59658487.043033034</v>
      </c>
    </row>
    <row r="48" spans="1:15" x14ac:dyDescent="0.25">
      <c r="A48" s="1" t="s">
        <v>56</v>
      </c>
      <c r="B48" s="6">
        <v>63943568.857488118</v>
      </c>
      <c r="C48" s="4">
        <v>27417576.272378329</v>
      </c>
      <c r="D48" s="4">
        <v>1676127.799564071</v>
      </c>
      <c r="E48" s="4">
        <v>5125338.9157519927</v>
      </c>
      <c r="F48" s="4">
        <v>101244.7311744249</v>
      </c>
      <c r="G48" s="4">
        <v>628219.60723554844</v>
      </c>
      <c r="H48" s="4">
        <v>494891.41802446288</v>
      </c>
      <c r="I48" s="4">
        <v>1707521.5944201909</v>
      </c>
      <c r="J48" s="4">
        <v>2815713.9878813629</v>
      </c>
      <c r="K48" s="4">
        <v>8836951.451815201</v>
      </c>
      <c r="L48" s="4">
        <v>4639558.5531149507</v>
      </c>
      <c r="M48" s="4">
        <v>1515534.129964852</v>
      </c>
      <c r="N48" s="4">
        <v>5720254.5906802975</v>
      </c>
      <c r="O48" s="4">
        <f t="shared" si="3"/>
        <v>60678933.052005678</v>
      </c>
    </row>
    <row r="49" spans="1:15" x14ac:dyDescent="0.25">
      <c r="A49" s="1" t="s">
        <v>57</v>
      </c>
      <c r="B49" s="6">
        <v>34293965.127008528</v>
      </c>
      <c r="C49" s="4">
        <v>192756.30234309239</v>
      </c>
      <c r="D49" s="4">
        <v>600690.33232048783</v>
      </c>
      <c r="E49" s="4">
        <v>2853631.1081831572</v>
      </c>
      <c r="F49" s="4">
        <v>3360223.4035126958</v>
      </c>
      <c r="G49" s="4">
        <v>1161164.8250784271</v>
      </c>
      <c r="H49" s="4">
        <v>1712869.1156289461</v>
      </c>
      <c r="I49" s="4">
        <v>600365.33329379256</v>
      </c>
      <c r="J49" s="4">
        <v>4777759.3756689886</v>
      </c>
      <c r="K49" s="4">
        <v>3808909.7755726259</v>
      </c>
      <c r="L49" s="4">
        <v>1717257.63662241</v>
      </c>
      <c r="M49" s="4">
        <v>6086577.6322725927</v>
      </c>
      <c r="N49" s="4">
        <v>4376583.8695756029</v>
      </c>
      <c r="O49" s="4">
        <f t="shared" si="3"/>
        <v>31248788.710072815</v>
      </c>
    </row>
    <row r="50" spans="1:15" x14ac:dyDescent="0.25">
      <c r="A50" s="1" t="s">
        <v>58</v>
      </c>
      <c r="B50" s="6">
        <v>71155965.932270825</v>
      </c>
      <c r="C50" s="4">
        <v>8830371.2335624844</v>
      </c>
      <c r="D50" s="4">
        <v>2659164.5767274541</v>
      </c>
      <c r="E50" s="4">
        <v>5168361.2685050648</v>
      </c>
      <c r="F50" s="4">
        <v>1832454.2464099929</v>
      </c>
      <c r="G50" s="4">
        <v>4439474.6681807134</v>
      </c>
      <c r="H50" s="4">
        <v>1828022.271968232</v>
      </c>
      <c r="I50" s="4">
        <v>901367.11527673283</v>
      </c>
      <c r="J50" s="4">
        <v>5114188.8334327945</v>
      </c>
      <c r="K50" s="4">
        <v>7116701.881038527</v>
      </c>
      <c r="L50" s="4">
        <v>9369740.1363085378</v>
      </c>
      <c r="M50" s="4">
        <v>1609310.702852055</v>
      </c>
      <c r="N50" s="4">
        <v>16590305.007084019</v>
      </c>
      <c r="O50" s="4">
        <f t="shared" si="3"/>
        <v>65459461.941346601</v>
      </c>
    </row>
    <row r="51" spans="1:15" x14ac:dyDescent="0.25">
      <c r="A51" s="9" t="s">
        <v>59</v>
      </c>
      <c r="B51" s="7">
        <v>73125644.891734198</v>
      </c>
      <c r="C51" s="10">
        <v>25988466.361771058</v>
      </c>
      <c r="D51" s="10">
        <v>6521393.5788890719</v>
      </c>
      <c r="E51" s="10">
        <v>3008628.6256871191</v>
      </c>
      <c r="F51" s="10">
        <v>4065175.916507876</v>
      </c>
      <c r="G51" s="10">
        <v>1140500.1615660221</v>
      </c>
      <c r="H51" s="10">
        <v>3928792.936832102</v>
      </c>
      <c r="I51" s="10">
        <v>4060909.003511433</v>
      </c>
      <c r="J51" s="10">
        <v>6212646.4764674092</v>
      </c>
      <c r="K51" s="10">
        <v>4364904.5268786717</v>
      </c>
      <c r="L51" s="10">
        <v>5517725.3948568664</v>
      </c>
      <c r="M51" s="10">
        <v>2377080.6172816958</v>
      </c>
      <c r="N51" s="10">
        <v>6595585.3632588992</v>
      </c>
      <c r="O51" s="7">
        <f t="shared" si="3"/>
        <v>73781808.963508219</v>
      </c>
    </row>
    <row r="52" spans="1:15" x14ac:dyDescent="0.25">
      <c r="A52" s="13" t="s">
        <v>60</v>
      </c>
      <c r="B52" s="6">
        <v>72186631.520203978</v>
      </c>
      <c r="C52" s="15">
        <v>22051412.418519031</v>
      </c>
      <c r="D52" s="15">
        <v>20537574.475204121</v>
      </c>
      <c r="E52" s="15">
        <v>1006906.45859424</v>
      </c>
      <c r="F52" s="15">
        <v>332248.07691579842</v>
      </c>
      <c r="G52" s="15">
        <v>313342.84059855959</v>
      </c>
      <c r="H52" s="15">
        <v>1963466.7889338341</v>
      </c>
      <c r="I52" s="15">
        <v>4603822.0484098531</v>
      </c>
      <c r="J52" s="15">
        <v>1630804.9821738449</v>
      </c>
      <c r="K52" s="15">
        <v>4628953.7074361211</v>
      </c>
      <c r="L52" s="15">
        <v>5479492.6544557968</v>
      </c>
      <c r="M52" s="15">
        <v>10250916.69439489</v>
      </c>
      <c r="N52" s="15">
        <v>3445258.0196794299</v>
      </c>
      <c r="O52" s="14">
        <f t="shared" si="3"/>
        <v>76244199.165315524</v>
      </c>
    </row>
    <row r="53" spans="1:15" x14ac:dyDescent="0.25">
      <c r="A53" s="11" t="s">
        <v>61</v>
      </c>
      <c r="B53" s="8">
        <v>55759972.038561031</v>
      </c>
      <c r="C53" s="12">
        <v>444908.35235172132</v>
      </c>
      <c r="D53" s="12">
        <v>10850240.94330655</v>
      </c>
      <c r="E53" s="12">
        <v>2351694.0325261969</v>
      </c>
      <c r="F53" s="12">
        <v>1916757.9474554991</v>
      </c>
      <c r="G53" s="12">
        <v>3587329.470489163</v>
      </c>
      <c r="H53" s="12">
        <v>3081634.6593851312</v>
      </c>
      <c r="I53" s="12">
        <v>487505.60570092092</v>
      </c>
      <c r="J53" s="12">
        <v>3974833.4481470352</v>
      </c>
      <c r="K53" s="12">
        <v>7740384.7467026981</v>
      </c>
      <c r="L53" s="12">
        <v>9671299.0419216845</v>
      </c>
      <c r="M53" s="12">
        <v>2262.8436727288531</v>
      </c>
      <c r="N53" s="12">
        <v>16961312.315694831</v>
      </c>
      <c r="O53" s="8">
        <f t="shared" si="3"/>
        <v>61070163.407354161</v>
      </c>
    </row>
    <row r="54" spans="1:15" x14ac:dyDescent="0.25">
      <c r="A54" s="1" t="s">
        <v>70</v>
      </c>
      <c r="B54" s="6">
        <v>58880615.371462867</v>
      </c>
      <c r="C54" s="4">
        <v>1307281.6904347821</v>
      </c>
      <c r="D54" s="4">
        <v>14607913.032798801</v>
      </c>
      <c r="E54" s="4">
        <v>3958749.898684592</v>
      </c>
      <c r="F54" s="4">
        <v>6245725.69185133</v>
      </c>
      <c r="G54" s="4">
        <v>2935314.1630270318</v>
      </c>
      <c r="H54" s="4">
        <v>315343.12763761863</v>
      </c>
      <c r="I54" s="4">
        <v>3893660.7195785488</v>
      </c>
      <c r="J54" s="4">
        <v>1848677.2160465301</v>
      </c>
      <c r="K54" s="4">
        <v>8071203.8953722799</v>
      </c>
      <c r="L54" s="4">
        <v>334488.86330591218</v>
      </c>
      <c r="M54" s="4">
        <v>3966431.6764258901</v>
      </c>
      <c r="N54" s="4">
        <v>14207465.715481481</v>
      </c>
      <c r="O54" s="14">
        <f t="shared" si="3"/>
        <v>61692255.690644793</v>
      </c>
    </row>
    <row r="55" spans="1:15" x14ac:dyDescent="0.25">
      <c r="A55" s="1" t="s">
        <v>62</v>
      </c>
      <c r="B55" s="6">
        <v>52320636.89398592</v>
      </c>
      <c r="C55" s="4">
        <v>4704468.7600808181</v>
      </c>
      <c r="D55" s="4">
        <v>13840200.072921099</v>
      </c>
      <c r="E55" s="4">
        <v>4615561.6052150382</v>
      </c>
      <c r="F55" s="4">
        <v>4813965.9494568603</v>
      </c>
      <c r="G55" s="4">
        <v>4066258.5904018912</v>
      </c>
      <c r="H55" s="4">
        <v>1862894.463573135</v>
      </c>
      <c r="I55" s="4">
        <v>827538.82177026744</v>
      </c>
      <c r="J55" s="4">
        <v>1887769.1023281619</v>
      </c>
      <c r="K55" s="4">
        <v>3780579.4074313529</v>
      </c>
      <c r="L55" s="4">
        <v>580240.83785444812</v>
      </c>
      <c r="M55" s="4">
        <v>8670471.8099690378</v>
      </c>
      <c r="N55" s="4">
        <v>1323438.9765419969</v>
      </c>
      <c r="O55" s="14">
        <f t="shared" si="3"/>
        <v>50973388.397544101</v>
      </c>
    </row>
    <row r="56" spans="1:15" x14ac:dyDescent="0.25">
      <c r="A56" s="11" t="s">
        <v>63</v>
      </c>
      <c r="B56" s="8">
        <v>79917808.563785285</v>
      </c>
      <c r="C56" s="12">
        <v>1744398.073696838</v>
      </c>
      <c r="D56" s="12">
        <v>19969888.80567424</v>
      </c>
      <c r="E56" s="12">
        <v>5337270.6941315616</v>
      </c>
      <c r="F56" s="12">
        <v>1664280.5848329039</v>
      </c>
      <c r="G56" s="12">
        <v>1587361.591509497</v>
      </c>
      <c r="H56" s="12">
        <v>3723928.890437156</v>
      </c>
      <c r="I56" s="12">
        <v>3596509.633856283</v>
      </c>
      <c r="J56" s="12">
        <v>1921176.685864076</v>
      </c>
      <c r="K56" s="12">
        <v>4356213.2926394762</v>
      </c>
      <c r="L56" s="12">
        <v>9095872.3551183082</v>
      </c>
      <c r="M56" s="12">
        <v>8460.0429148199328</v>
      </c>
      <c r="N56" s="12">
        <v>20843663.243317168</v>
      </c>
      <c r="O56" s="8">
        <f t="shared" si="3"/>
        <v>73849023.893992335</v>
      </c>
    </row>
    <row r="57" spans="1:15" x14ac:dyDescent="0.25">
      <c r="A57" s="1" t="s">
        <v>64</v>
      </c>
      <c r="B57" s="6">
        <v>45733501.586262167</v>
      </c>
      <c r="C57" s="4">
        <v>17106820.765806559</v>
      </c>
      <c r="D57" s="4">
        <v>3898040.212150577</v>
      </c>
      <c r="E57" s="4">
        <v>5297199.9318984514</v>
      </c>
      <c r="F57" s="4">
        <v>499880.35639456729</v>
      </c>
      <c r="G57" s="4">
        <v>1904603.3562368581</v>
      </c>
      <c r="H57" s="4">
        <v>2584154.117815196</v>
      </c>
      <c r="I57" s="4">
        <v>1435700.804897313</v>
      </c>
      <c r="J57" s="4">
        <v>6419688.787614475</v>
      </c>
      <c r="K57" s="4">
        <v>6761000.64731804</v>
      </c>
      <c r="L57" s="4">
        <v>1720474.0811649</v>
      </c>
      <c r="M57" s="4">
        <v>1867351.4405810931</v>
      </c>
      <c r="N57" s="4">
        <v>1300808.8382947999</v>
      </c>
      <c r="O57" s="14">
        <f t="shared" si="3"/>
        <v>50795723.34017282</v>
      </c>
    </row>
    <row r="58" spans="1:15" x14ac:dyDescent="0.25">
      <c r="A58" s="11" t="s">
        <v>65</v>
      </c>
      <c r="B58" s="8">
        <v>73926655.907267377</v>
      </c>
      <c r="C58" s="12">
        <v>17275036.840449888</v>
      </c>
      <c r="D58" s="12">
        <v>4010405.6034762929</v>
      </c>
      <c r="E58" s="12">
        <v>3594493.4447417278</v>
      </c>
      <c r="F58" s="12">
        <v>5376168.8241034755</v>
      </c>
      <c r="G58" s="12">
        <v>4084142.4808555092</v>
      </c>
      <c r="H58" s="12">
        <v>524603.51774435304</v>
      </c>
      <c r="I58" s="12">
        <v>1929629.63611112</v>
      </c>
      <c r="J58" s="12">
        <v>3026799.4594113179</v>
      </c>
      <c r="K58" s="12">
        <v>3719770.3864542861</v>
      </c>
      <c r="L58" s="12">
        <v>4452775.4607693022</v>
      </c>
      <c r="M58" s="12">
        <v>5628840.6988472287</v>
      </c>
      <c r="N58" s="12">
        <v>15890142.12859335</v>
      </c>
      <c r="O58" s="8">
        <f t="shared" si="3"/>
        <v>69512808.481557846</v>
      </c>
    </row>
    <row r="59" spans="1:15" x14ac:dyDescent="0.25">
      <c r="A59" s="11" t="s">
        <v>66</v>
      </c>
      <c r="B59" s="8">
        <v>65613465.249685481</v>
      </c>
      <c r="C59" s="12">
        <v>9235013.5376208983</v>
      </c>
      <c r="D59" s="12">
        <v>7354583.4267051099</v>
      </c>
      <c r="E59" s="12">
        <v>2583382.865939335</v>
      </c>
      <c r="F59" s="12">
        <v>992072.3634801578</v>
      </c>
      <c r="G59" s="12">
        <v>2928319.8147053611</v>
      </c>
      <c r="H59" s="12">
        <v>1804640.0016071319</v>
      </c>
      <c r="I59" s="12">
        <v>5320999.4463742282</v>
      </c>
      <c r="J59" s="12">
        <v>5956889.7363674687</v>
      </c>
      <c r="K59" s="12">
        <v>2233117.7956072092</v>
      </c>
      <c r="L59" s="12">
        <v>2576158.3337813122</v>
      </c>
      <c r="M59" s="12">
        <v>9572600.8237780184</v>
      </c>
      <c r="N59" s="12">
        <v>11759539.781883139</v>
      </c>
      <c r="O59" s="8">
        <f t="shared" si="3"/>
        <v>62317317.927849367</v>
      </c>
    </row>
    <row r="60" spans="1:15" x14ac:dyDescent="0.25">
      <c r="A60" s="13" t="s">
        <v>67</v>
      </c>
      <c r="B60" s="6">
        <v>67658886.939922914</v>
      </c>
      <c r="C60" s="15">
        <v>308645.27682428819</v>
      </c>
      <c r="D60" s="15">
        <v>13489223.340034969</v>
      </c>
      <c r="E60" s="15">
        <v>2614285.7538058199</v>
      </c>
      <c r="F60" s="15">
        <v>5151413.7179974495</v>
      </c>
      <c r="G60" s="15">
        <v>3469383.1539224321</v>
      </c>
      <c r="H60" s="15">
        <v>4158617.2581852712</v>
      </c>
      <c r="I60" s="15">
        <v>4061441.6906183278</v>
      </c>
      <c r="J60" s="15">
        <v>6620900.4928832864</v>
      </c>
      <c r="K60" s="15">
        <v>2761612.6795414481</v>
      </c>
      <c r="L60" s="15">
        <v>3601052.1369760698</v>
      </c>
      <c r="M60" s="15">
        <v>724437.38366186817</v>
      </c>
      <c r="N60" s="15">
        <v>18208621.524908978</v>
      </c>
      <c r="O60" s="14">
        <f t="shared" si="3"/>
        <v>65169634.4093602</v>
      </c>
    </row>
    <row r="61" spans="1:15" x14ac:dyDescent="0.25">
      <c r="A61" s="11" t="s">
        <v>68</v>
      </c>
      <c r="B61" s="8">
        <v>56744170.830127813</v>
      </c>
      <c r="C61" s="12">
        <v>4661629.8144799117</v>
      </c>
      <c r="D61" s="12">
        <v>11806750.475160031</v>
      </c>
      <c r="E61" s="12">
        <v>3370824.8281089892</v>
      </c>
      <c r="F61" s="12">
        <v>5339840.5841425853</v>
      </c>
      <c r="G61" s="12">
        <v>1802355.8459943631</v>
      </c>
      <c r="H61" s="12">
        <v>643250.29939806461</v>
      </c>
      <c r="I61" s="12">
        <v>2224928.5629013521</v>
      </c>
      <c r="J61" s="12">
        <v>348457.49684061768</v>
      </c>
      <c r="K61" s="12">
        <v>2924745.3547755098</v>
      </c>
      <c r="L61" s="12">
        <v>6697866.9150170358</v>
      </c>
      <c r="M61" s="12">
        <v>699257.41032656399</v>
      </c>
      <c r="N61" s="12">
        <v>20787003.582624819</v>
      </c>
      <c r="O61" s="8">
        <f t="shared" si="3"/>
        <v>61306911.169769838</v>
      </c>
    </row>
    <row r="62" spans="1:15" x14ac:dyDescent="0.25">
      <c r="A62" s="11" t="s">
        <v>69</v>
      </c>
      <c r="B62" s="8">
        <v>54993474.216987699</v>
      </c>
      <c r="C62" s="12">
        <v>16207717.14368972</v>
      </c>
      <c r="D62" s="12">
        <v>6426171.0626778631</v>
      </c>
      <c r="E62" s="12">
        <v>5519591.9001392648</v>
      </c>
      <c r="F62" s="12">
        <v>901843.61485180131</v>
      </c>
      <c r="G62" s="12">
        <v>1495642.787508735</v>
      </c>
      <c r="H62" s="12">
        <v>4225447.0866837902</v>
      </c>
      <c r="I62" s="12">
        <v>1393527.489021542</v>
      </c>
      <c r="J62" s="12">
        <v>5314916.0253324844</v>
      </c>
      <c r="K62" s="12">
        <v>785155.76003788889</v>
      </c>
      <c r="L62" s="12">
        <v>5660998.2432386652</v>
      </c>
      <c r="M62" s="12">
        <v>8053268.2498715501</v>
      </c>
      <c r="N62" s="12">
        <v>4404900.7954054959</v>
      </c>
      <c r="O62" s="8">
        <f t="shared" si="3"/>
        <v>60389180.158458799</v>
      </c>
    </row>
    <row r="63" spans="1:15" x14ac:dyDescent="0.25">
      <c r="A63" s="9" t="s">
        <v>75</v>
      </c>
      <c r="B63" s="10">
        <v>62664574.586066723</v>
      </c>
      <c r="C63" s="10">
        <v>97415884.266198039</v>
      </c>
      <c r="D63" s="10">
        <v>2415131.0583016276</v>
      </c>
      <c r="E63" s="10">
        <v>-4955244.1414599717</v>
      </c>
      <c r="F63" s="10">
        <v>-2213586.2086845189</v>
      </c>
      <c r="G63" s="10">
        <v>1064344.9702434689</v>
      </c>
      <c r="H63" s="10">
        <v>-6750471.6417228281</v>
      </c>
      <c r="I63" s="10">
        <v>-1265724.929545626</v>
      </c>
      <c r="J63" s="10">
        <v>2044268.1919237077</v>
      </c>
      <c r="K63" s="10">
        <v>-10366051.745154679</v>
      </c>
      <c r="L63" s="10">
        <v>-12034189.538777947</v>
      </c>
      <c r="M63" s="10">
        <v>1441719.0892479718</v>
      </c>
      <c r="N63" s="10">
        <v>-15308494.100320518</v>
      </c>
      <c r="O63" s="7">
        <f t="shared" si="3"/>
        <v>51487585.270248726</v>
      </c>
    </row>
    <row r="64" spans="1:15" x14ac:dyDescent="0.25">
      <c r="A64" s="9" t="s">
        <v>76</v>
      </c>
      <c r="B64" s="7">
        <v>9000000</v>
      </c>
      <c r="C64" s="10">
        <v>8600000</v>
      </c>
      <c r="D64" s="10">
        <v>5600000</v>
      </c>
      <c r="E64" s="10">
        <v>8350000</v>
      </c>
      <c r="F64" s="10">
        <v>7800000</v>
      </c>
      <c r="G64" s="10">
        <v>5400000</v>
      </c>
      <c r="H64" s="10">
        <v>9740000</v>
      </c>
      <c r="I64" s="10">
        <v>8670000</v>
      </c>
      <c r="J64" s="10">
        <v>4670000</v>
      </c>
      <c r="K64" s="10">
        <v>6780000</v>
      </c>
      <c r="L64" s="10">
        <v>11000000</v>
      </c>
      <c r="M64" s="10">
        <v>6700000</v>
      </c>
      <c r="N64" s="10">
        <v>8760000</v>
      </c>
      <c r="O64" s="10">
        <v>8760000</v>
      </c>
    </row>
    <row r="67" spans="4:4" x14ac:dyDescent="0.25">
      <c r="D67" s="20"/>
    </row>
  </sheetData>
  <conditionalFormatting sqref="A1:A64">
    <cfRule type="duplicateValues" priority="1"/>
  </conditionalFormatting>
  <pageMargins left="0.7" right="0.7" top="0.75" bottom="0.75" header="0.3" footer="0.3"/>
  <pageSetup orientation="portrait" r:id="rId1"/>
  <ignoredErrors>
    <ignoredError sqref="O4:O32 O35:O6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torrejon allende</cp:lastModifiedBy>
  <dcterms:created xsi:type="dcterms:W3CDTF">2026-02-22T06:35:29Z</dcterms:created>
  <dcterms:modified xsi:type="dcterms:W3CDTF">2026-02-23T21:20:31Z</dcterms:modified>
</cp:coreProperties>
</file>